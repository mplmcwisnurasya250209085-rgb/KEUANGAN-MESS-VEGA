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MAR AMNI SEMARANG\MESS VEGA\"/>
    </mc:Choice>
  </mc:AlternateContent>
  <xr:revisionPtr revIDLastSave="0" documentId="8_{4EC2DE3C-FB9C-4465-B085-DBFA44BAA33C}" xr6:coauthVersionLast="47" xr6:coauthVersionMax="47" xr10:uidLastSave="{00000000-0000-0000-0000-000000000000}"/>
  <bookViews>
    <workbookView xWindow="-110" yWindow="-110" windowWidth="19420" windowHeight="10300" xr2:uid="{0E6F1631-A7F6-49D0-BF94-D08D5AE8291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<sst xmlns="http://schemas.openxmlformats.org/spreadsheetml/2006/main" count="65" uniqueCount="45">
  <si>
    <t>PEMBUKUAN IURAN UANG KAS MESS VEGA</t>
  </si>
  <si>
    <t>PEMBAYARAN KAS TUNAI / TRANSFER KE REKENING MESS VEGA</t>
  </si>
  <si>
    <t>TAHUN 2026</t>
  </si>
  <si>
    <t>BANK MANDIRI A/N SLAMET FAESAL (1360037017271)</t>
  </si>
  <si>
    <t>BULAN : OKTOBER</t>
  </si>
  <si>
    <t>WHATSAPP (+62 858-7950-6020)</t>
  </si>
  <si>
    <t>NB: Hanya yang berada di mess</t>
  </si>
  <si>
    <t>SALDO BULAN LALU</t>
  </si>
  <si>
    <t>NO</t>
  </si>
  <si>
    <t>CREW MESS VEGA</t>
  </si>
  <si>
    <t>KAS</t>
  </si>
  <si>
    <t>KET</t>
  </si>
  <si>
    <t>Uraian</t>
  </si>
  <si>
    <t>Pemasukkan</t>
  </si>
  <si>
    <t>Pengeluaran</t>
  </si>
  <si>
    <t>Saldo</t>
  </si>
  <si>
    <t>TOTAL KOMULATIF</t>
  </si>
  <si>
    <t>PENGELUARAN BULANAN</t>
  </si>
  <si>
    <t>Agiel</t>
  </si>
  <si>
    <t>No.</t>
  </si>
  <si>
    <t>Tanggal</t>
  </si>
  <si>
    <t>Ket</t>
  </si>
  <si>
    <t>Kebutuhan</t>
  </si>
  <si>
    <t>Harga</t>
  </si>
  <si>
    <t>Farel</t>
  </si>
  <si>
    <t>Rp -</t>
  </si>
  <si>
    <t>Wifi</t>
  </si>
  <si>
    <t>Rama</t>
  </si>
  <si>
    <t>Listrik</t>
  </si>
  <si>
    <t>Wahyu A</t>
  </si>
  <si>
    <t>Galon</t>
  </si>
  <si>
    <t>Bram</t>
  </si>
  <si>
    <t>Sampah</t>
  </si>
  <si>
    <t>Wisnu</t>
  </si>
  <si>
    <t>Bahan Kebersihan</t>
  </si>
  <si>
    <t>Wahyu F</t>
  </si>
  <si>
    <t>Gas</t>
  </si>
  <si>
    <t>Azzi</t>
  </si>
  <si>
    <t>Lain-Lain</t>
  </si>
  <si>
    <t>Olga</t>
  </si>
  <si>
    <t>JUMLAH</t>
  </si>
  <si>
    <t>Aan</t>
  </si>
  <si>
    <t>Alan</t>
  </si>
  <si>
    <t>TOTAL SALDO</t>
  </si>
  <si>
    <t>SALDO KAS KOMULATIF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</si>
</sst>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B8B7"/>
        <bgColor indexed="64"/>
      </patternFill>
    </fill>
  </fills>
  <borders count="4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6" fontId="5" fillId="4" borderId="12" xfId="0" applyNumberFormat="1" applyFont="1" applyFill="1" applyBorder="1" applyAlignment="1">
      <alignment horizontal="center" vertical="center" wrapText="1"/>
    </xf>
    <xf numFmtId="6" fontId="5" fillId="4" borderId="10" xfId="0" applyNumberFormat="1" applyFont="1" applyFill="1" applyBorder="1" applyAlignment="1">
      <alignment horizontal="center" vertical="center" wrapText="1"/>
    </xf>
    <xf numFmtId="6" fontId="5" fillId="4" borderId="13" xfId="0" applyNumberFormat="1" applyFont="1" applyFill="1" applyBorder="1" applyAlignment="1">
      <alignment horizontal="center" vertical="center" wrapText="1"/>
    </xf>
    <xf numFmtId="6" fontId="6" fillId="0" borderId="0" xfId="0" applyNumberFormat="1" applyFont="1" applyAlignment="1">
      <alignment horizontal="righ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" borderId="18" xfId="0" applyFont="1" applyFill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6" fontId="7" fillId="0" borderId="24" xfId="0" applyNumberFormat="1" applyFont="1" applyBorder="1" applyAlignment="1">
      <alignment horizontal="right" vertical="center" wrapText="1"/>
    </xf>
    <xf numFmtId="0" fontId="1" fillId="7" borderId="24" xfId="0" applyFont="1" applyFill="1" applyBorder="1" applyAlignment="1">
      <alignment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6" fontId="7" fillId="6" borderId="26" xfId="0" applyNumberFormat="1" applyFont="1" applyFill="1" applyBorder="1" applyAlignment="1">
      <alignment horizontal="right" vertical="center" wrapText="1"/>
    </xf>
    <xf numFmtId="0" fontId="7" fillId="6" borderId="27" xfId="0" applyFont="1" applyFill="1" applyBorder="1" applyAlignment="1">
      <alignment horizontal="right" vertical="center" wrapText="1"/>
    </xf>
    <xf numFmtId="6" fontId="7" fillId="6" borderId="28" xfId="0" applyNumberFormat="1" applyFont="1" applyFill="1" applyBorder="1" applyAlignment="1">
      <alignment horizontal="right" vertical="center" wrapText="1"/>
    </xf>
    <xf numFmtId="6" fontId="7" fillId="0" borderId="0" xfId="0" applyNumberFormat="1" applyFont="1" applyAlignment="1">
      <alignment horizontal="right" vertical="center" wrapText="1"/>
    </xf>
    <xf numFmtId="6" fontId="10" fillId="6" borderId="29" xfId="0" applyNumberFormat="1" applyFont="1" applyFill="1" applyBorder="1" applyAlignment="1">
      <alignment horizontal="right" vertical="center" wrapText="1"/>
    </xf>
    <xf numFmtId="0" fontId="1" fillId="0" borderId="19" xfId="0" applyFont="1" applyBorder="1" applyAlignment="1">
      <alignment wrapText="1"/>
    </xf>
    <xf numFmtId="0" fontId="5" fillId="8" borderId="30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6" fontId="7" fillId="0" borderId="16" xfId="0" applyNumberFormat="1" applyFont="1" applyBorder="1" applyAlignment="1">
      <alignment horizontal="right" vertical="center" wrapText="1"/>
    </xf>
    <xf numFmtId="0" fontId="1" fillId="7" borderId="16" xfId="0" applyFont="1" applyFill="1" applyBorder="1" applyAlignment="1">
      <alignment vertical="center" wrapText="1"/>
    </xf>
    <xf numFmtId="0" fontId="7" fillId="7" borderId="32" xfId="0" applyFont="1" applyFill="1" applyBorder="1" applyAlignment="1">
      <alignment horizontal="center" vertical="center" wrapText="1"/>
    </xf>
    <xf numFmtId="14" fontId="7" fillId="0" borderId="30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 wrapText="1"/>
    </xf>
    <xf numFmtId="6" fontId="7" fillId="7" borderId="33" xfId="0" applyNumberFormat="1" applyFont="1" applyFill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6" fontId="10" fillId="6" borderId="35" xfId="0" applyNumberFormat="1" applyFont="1" applyFill="1" applyBorder="1" applyAlignment="1">
      <alignment horizontal="right" vertical="center" wrapText="1"/>
    </xf>
    <xf numFmtId="0" fontId="7" fillId="0" borderId="30" xfId="0" applyFont="1" applyBorder="1" applyAlignment="1">
      <alignment wrapText="1"/>
    </xf>
    <xf numFmtId="6" fontId="7" fillId="0" borderId="30" xfId="0" applyNumberFormat="1" applyFont="1" applyBorder="1" applyAlignment="1">
      <alignment horizontal="right" wrapText="1"/>
    </xf>
    <xf numFmtId="6" fontId="7" fillId="0" borderId="33" xfId="0" applyNumberFormat="1" applyFont="1" applyBorder="1" applyAlignment="1">
      <alignment horizontal="right" vertical="center" wrapText="1"/>
    </xf>
    <xf numFmtId="6" fontId="7" fillId="0" borderId="8" xfId="0" applyNumberFormat="1" applyFont="1" applyBorder="1" applyAlignment="1">
      <alignment horizontal="right" vertical="center" wrapText="1"/>
    </xf>
    <xf numFmtId="0" fontId="1" fillId="9" borderId="36" xfId="0" applyFont="1" applyFill="1" applyBorder="1" applyAlignment="1">
      <alignment vertical="center" wrapText="1"/>
    </xf>
    <xf numFmtId="0" fontId="1" fillId="0" borderId="37" xfId="0" applyFont="1" applyBorder="1" applyAlignment="1">
      <alignment wrapText="1"/>
    </xf>
    <xf numFmtId="0" fontId="7" fillId="7" borderId="16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7" fillId="0" borderId="8" xfId="0" applyFont="1" applyBorder="1" applyAlignment="1">
      <alignment horizontal="right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5" fillId="10" borderId="22" xfId="0" applyFont="1" applyFill="1" applyBorder="1" applyAlignment="1">
      <alignment horizontal="center" vertical="center" wrapText="1"/>
    </xf>
    <xf numFmtId="6" fontId="5" fillId="10" borderId="30" xfId="0" applyNumberFormat="1" applyFont="1" applyFill="1" applyBorder="1" applyAlignment="1">
      <alignment horizontal="right" wrapText="1"/>
    </xf>
    <xf numFmtId="0" fontId="7" fillId="0" borderId="0" xfId="0" applyFont="1" applyAlignment="1">
      <alignment horizontal="right" vertical="center" wrapText="1"/>
    </xf>
    <xf numFmtId="0" fontId="7" fillId="0" borderId="38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5" fillId="11" borderId="39" xfId="0" applyFont="1" applyFill="1" applyBorder="1" applyAlignment="1">
      <alignment horizontal="center" vertical="center" wrapText="1"/>
    </xf>
    <xf numFmtId="0" fontId="5" fillId="11" borderId="32" xfId="0" applyFont="1" applyFill="1" applyBorder="1" applyAlignment="1">
      <alignment horizontal="center" vertical="center" wrapText="1"/>
    </xf>
    <xf numFmtId="6" fontId="11" fillId="11" borderId="30" xfId="0" applyNumberFormat="1" applyFont="1" applyFill="1" applyBorder="1" applyAlignment="1">
      <alignment horizontal="right" vertical="center" wrapText="1"/>
    </xf>
    <xf numFmtId="0" fontId="1" fillId="11" borderId="30" xfId="0" applyFont="1" applyFill="1" applyBorder="1" applyAlignment="1">
      <alignment vertical="center" wrapText="1"/>
    </xf>
    <xf numFmtId="6" fontId="7" fillId="12" borderId="30" xfId="0" applyNumberFormat="1" applyFont="1" applyFill="1" applyBorder="1" applyAlignment="1">
      <alignment horizontal="center" vertical="center" wrapText="1"/>
    </xf>
    <xf numFmtId="6" fontId="7" fillId="13" borderId="33" xfId="0" applyNumberFormat="1" applyFont="1" applyFill="1" applyBorder="1" applyAlignment="1">
      <alignment horizontal="center" vertical="center" wrapText="1"/>
    </xf>
    <xf numFmtId="6" fontId="6" fillId="11" borderId="40" xfId="0" applyNumberFormat="1" applyFont="1" applyFill="1" applyBorder="1" applyAlignment="1">
      <alignment horizontal="center" vertical="center" wrapText="1"/>
    </xf>
    <xf numFmtId="0" fontId="1" fillId="0" borderId="36" xfId="0" applyFont="1" applyBorder="1" applyAlignment="1">
      <alignment wrapText="1"/>
    </xf>
    <xf numFmtId="0" fontId="1" fillId="10" borderId="41" xfId="0" applyFont="1" applyFill="1" applyBorder="1" applyAlignment="1">
      <alignment vertical="center" wrapText="1"/>
    </xf>
    <xf numFmtId="0" fontId="5" fillId="10" borderId="42" xfId="0" applyFont="1" applyFill="1" applyBorder="1" applyAlignment="1">
      <alignment horizontal="center" vertical="center" wrapText="1"/>
    </xf>
    <xf numFmtId="0" fontId="5" fillId="10" borderId="43" xfId="0" applyFont="1" applyFill="1" applyBorder="1" applyAlignment="1">
      <alignment horizontal="center" vertical="center" wrapText="1"/>
    </xf>
    <xf numFmtId="6" fontId="6" fillId="10" borderId="3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</font>
      <numFmt numFmtId="164" formatCode="&quot;Rp&quot;#,##0"/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0940-30C3-4B0D-B921-F1A5B333A684}">
  <dimension ref="A1:P19"/>
  <sheetViews>
    <sheetView tabSelected="1" workbookViewId="0">
      <selection activeCell="K6" sqref="K6"/>
    </sheetView>
  </sheetViews>
  <sheetFormatPr defaultRowHeight="14.5" x14ac:dyDescent="0.35"/>
  <sheetData>
    <row r="1" spans="1:16" ht="15" thickBot="1" x14ac:dyDescent="0.4">
      <c r="A1" s="1"/>
      <c r="B1" s="2"/>
      <c r="C1" s="2"/>
      <c r="D1" s="2"/>
      <c r="E1" s="2"/>
      <c r="F1" s="2"/>
      <c r="G1" s="2"/>
      <c r="H1" s="2"/>
      <c r="I1" s="3"/>
      <c r="J1" s="4"/>
      <c r="K1" s="4"/>
      <c r="L1" s="5"/>
      <c r="M1" s="6"/>
      <c r="N1" s="6"/>
      <c r="O1" s="6"/>
      <c r="P1" s="7"/>
    </row>
    <row r="2" spans="1:16" ht="23" thickBot="1" x14ac:dyDescent="0.5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10"/>
      <c r="L2" s="11" t="s">
        <v>1</v>
      </c>
      <c r="M2" s="11"/>
      <c r="N2" s="11"/>
      <c r="O2" s="11"/>
      <c r="P2" s="11"/>
    </row>
    <row r="3" spans="1:16" ht="20.5" thickBot="1" x14ac:dyDescent="0.4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  <c r="L3" s="15" t="s">
        <v>3</v>
      </c>
      <c r="M3" s="15"/>
      <c r="N3" s="15"/>
      <c r="O3" s="15"/>
      <c r="P3" s="15"/>
    </row>
    <row r="4" spans="1:16" ht="18" thickBot="1" x14ac:dyDescent="0.4">
      <c r="A4" s="16"/>
      <c r="B4" s="17" t="s">
        <v>4</v>
      </c>
      <c r="C4" s="18"/>
      <c r="D4" s="18"/>
      <c r="E4" s="18"/>
      <c r="F4" s="18"/>
      <c r="G4" s="18"/>
      <c r="H4" s="19"/>
      <c r="I4" s="16"/>
      <c r="J4" s="16"/>
      <c r="K4" s="16"/>
      <c r="L4" s="20" t="s">
        <v>5</v>
      </c>
      <c r="M4" s="20"/>
      <c r="N4" s="20"/>
      <c r="O4" s="20"/>
      <c r="P4" s="20"/>
    </row>
    <row r="5" spans="1:16" ht="18" thickBot="1" x14ac:dyDescent="0.4">
      <c r="A5" s="21" t="s">
        <v>6</v>
      </c>
      <c r="B5" s="22"/>
      <c r="C5" s="22"/>
      <c r="D5" s="23"/>
      <c r="E5" s="24" t="s">
        <v>7</v>
      </c>
      <c r="F5" s="22"/>
      <c r="G5" s="23"/>
      <c r="H5" s="25"/>
      <c r="I5" s="26"/>
      <c r="J5" s="27"/>
      <c r="K5" s="28"/>
    </row>
    <row r="6" spans="1:16" ht="45.5" thickBot="1" x14ac:dyDescent="0.4">
      <c r="A6" s="29" t="s">
        <v>8</v>
      </c>
      <c r="B6" s="30" t="s">
        <v>9</v>
      </c>
      <c r="C6" s="31" t="s">
        <v>10</v>
      </c>
      <c r="D6" s="30" t="s">
        <v>11</v>
      </c>
      <c r="E6" s="32" t="s">
        <v>12</v>
      </c>
      <c r="F6" s="32"/>
      <c r="G6" s="32"/>
      <c r="H6" s="30" t="s">
        <v>13</v>
      </c>
      <c r="I6" s="30" t="s">
        <v>14</v>
      </c>
      <c r="J6" s="33" t="s">
        <v>15</v>
      </c>
      <c r="K6" s="34"/>
      <c r="L6" s="35" t="s">
        <v>16</v>
      </c>
      <c r="M6" s="36"/>
      <c r="N6" s="37" t="s">
        <v>17</v>
      </c>
      <c r="O6" s="38"/>
      <c r="P6" s="39"/>
    </row>
    <row r="7" spans="1:16" ht="37" thickTop="1" thickBot="1" x14ac:dyDescent="0.4">
      <c r="A7" s="40">
        <v>1</v>
      </c>
      <c r="B7" s="41" t="s">
        <v>18</v>
      </c>
      <c r="C7" s="42">
        <v>0</v>
      </c>
      <c r="D7" s="43"/>
      <c r="E7" s="44" t="s">
        <v>19</v>
      </c>
      <c r="F7" s="45" t="s">
        <v>20</v>
      </c>
      <c r="G7" s="45" t="s">
        <v>21</v>
      </c>
      <c r="H7" s="46"/>
      <c r="I7" s="47"/>
      <c r="J7" s="48">
        <f>H7-I7</f>
        <v>0</v>
      </c>
      <c r="K7" s="49"/>
      <c r="L7" s="50"/>
      <c r="M7" s="51"/>
      <c r="N7" s="52" t="s">
        <v>19</v>
      </c>
      <c r="O7" s="52" t="s">
        <v>22</v>
      </c>
      <c r="P7" s="52" t="s">
        <v>23</v>
      </c>
    </row>
    <row r="8" spans="1:16" ht="16" thickBot="1" x14ac:dyDescent="0.4">
      <c r="A8" s="53">
        <v>2</v>
      </c>
      <c r="B8" s="54" t="s">
        <v>24</v>
      </c>
      <c r="C8" s="55">
        <v>0</v>
      </c>
      <c r="D8" s="56"/>
      <c r="E8" s="57">
        <v>1</v>
      </c>
      <c r="F8" s="58"/>
      <c r="G8" s="59"/>
      <c r="H8" s="60" t="s">
        <v>25</v>
      </c>
      <c r="I8" s="61"/>
      <c r="J8" s="62" t="s">
        <v>25</v>
      </c>
      <c r="K8" s="49"/>
      <c r="L8" s="63"/>
      <c r="M8" s="36"/>
      <c r="N8" s="60">
        <v>1</v>
      </c>
      <c r="O8" s="64" t="s">
        <v>26</v>
      </c>
      <c r="P8" s="65">
        <v>195000</v>
      </c>
    </row>
    <row r="9" spans="1:16" ht="16" thickBot="1" x14ac:dyDescent="0.4">
      <c r="A9" s="53">
        <v>3</v>
      </c>
      <c r="B9" s="54" t="s">
        <v>27</v>
      </c>
      <c r="C9" s="55">
        <v>0</v>
      </c>
      <c r="D9" s="56"/>
      <c r="E9" s="57">
        <v>2</v>
      </c>
      <c r="F9" s="58"/>
      <c r="G9" s="59"/>
      <c r="H9" s="60" t="s">
        <v>25</v>
      </c>
      <c r="I9" s="66"/>
      <c r="J9" s="62" t="s">
        <v>25</v>
      </c>
      <c r="K9" s="67"/>
      <c r="L9" s="68"/>
      <c r="M9" s="69"/>
      <c r="N9" s="60">
        <v>2</v>
      </c>
      <c r="O9" s="64" t="s">
        <v>28</v>
      </c>
      <c r="P9" s="65">
        <v>400000</v>
      </c>
    </row>
    <row r="10" spans="1:16" ht="16" thickBot="1" x14ac:dyDescent="0.4">
      <c r="A10" s="53">
        <v>4</v>
      </c>
      <c r="B10" s="54" t="s">
        <v>29</v>
      </c>
      <c r="C10" s="55">
        <v>0</v>
      </c>
      <c r="D10" s="70"/>
      <c r="E10" s="57">
        <v>3</v>
      </c>
      <c r="F10" s="58"/>
      <c r="G10" s="59"/>
      <c r="H10" s="60" t="s">
        <v>25</v>
      </c>
      <c r="I10" s="61"/>
      <c r="J10" s="62" t="s">
        <v>25</v>
      </c>
      <c r="K10" s="67"/>
      <c r="L10" s="71"/>
      <c r="M10" s="69"/>
      <c r="N10" s="60">
        <v>3</v>
      </c>
      <c r="O10" s="64" t="s">
        <v>30</v>
      </c>
      <c r="P10" s="65">
        <v>150000</v>
      </c>
    </row>
    <row r="11" spans="1:16" ht="16" thickBot="1" x14ac:dyDescent="0.4">
      <c r="A11" s="53">
        <v>5</v>
      </c>
      <c r="B11" s="54" t="s">
        <v>31</v>
      </c>
      <c r="C11" s="55">
        <v>0</v>
      </c>
      <c r="D11" s="56"/>
      <c r="E11" s="57">
        <v>4</v>
      </c>
      <c r="F11" s="58"/>
      <c r="G11" s="59"/>
      <c r="H11" s="60" t="s">
        <v>25</v>
      </c>
      <c r="I11" s="66"/>
      <c r="J11" s="62" t="s">
        <v>25</v>
      </c>
      <c r="K11" s="67"/>
      <c r="L11" s="4"/>
      <c r="M11" s="69"/>
      <c r="N11" s="60">
        <v>4</v>
      </c>
      <c r="O11" s="64" t="s">
        <v>32</v>
      </c>
      <c r="P11" s="65">
        <v>50000</v>
      </c>
    </row>
    <row r="12" spans="1:16" ht="47" thickBot="1" x14ac:dyDescent="0.4">
      <c r="A12" s="53">
        <v>6</v>
      </c>
      <c r="B12" s="54" t="s">
        <v>33</v>
      </c>
      <c r="C12" s="55">
        <v>0</v>
      </c>
      <c r="D12" s="70"/>
      <c r="E12" s="57">
        <v>5</v>
      </c>
      <c r="F12" s="72"/>
      <c r="G12" s="59"/>
      <c r="H12" s="60" t="s">
        <v>25</v>
      </c>
      <c r="I12" s="66"/>
      <c r="J12" s="62" t="s">
        <v>25</v>
      </c>
      <c r="K12" s="67"/>
      <c r="L12" s="4"/>
      <c r="M12" s="69"/>
      <c r="N12" s="60">
        <v>5</v>
      </c>
      <c r="O12" s="64" t="s">
        <v>34</v>
      </c>
      <c r="P12" s="65">
        <v>50000</v>
      </c>
    </row>
    <row r="13" spans="1:16" ht="16" thickBot="1" x14ac:dyDescent="0.4">
      <c r="A13" s="53">
        <v>7</v>
      </c>
      <c r="B13" s="54" t="s">
        <v>35</v>
      </c>
      <c r="C13" s="55">
        <v>0</v>
      </c>
      <c r="D13" s="56"/>
      <c r="E13" s="57">
        <v>6</v>
      </c>
      <c r="F13" s="72"/>
      <c r="G13" s="72"/>
      <c r="H13" s="60" t="s">
        <v>25</v>
      </c>
      <c r="I13" s="73"/>
      <c r="J13" s="62" t="s">
        <v>25</v>
      </c>
      <c r="K13" s="74"/>
      <c r="L13" s="4"/>
      <c r="M13" s="69"/>
      <c r="N13" s="60">
        <v>6</v>
      </c>
      <c r="O13" s="64" t="s">
        <v>36</v>
      </c>
      <c r="P13" s="65">
        <v>40000</v>
      </c>
    </row>
    <row r="14" spans="1:16" ht="31.5" thickBot="1" x14ac:dyDescent="0.4">
      <c r="A14" s="53">
        <v>8</v>
      </c>
      <c r="B14" s="54" t="s">
        <v>37</v>
      </c>
      <c r="C14" s="55">
        <v>0</v>
      </c>
      <c r="D14" s="70"/>
      <c r="E14" s="57">
        <v>7</v>
      </c>
      <c r="F14" s="72"/>
      <c r="G14" s="72"/>
      <c r="H14" s="60" t="s">
        <v>25</v>
      </c>
      <c r="I14" s="73"/>
      <c r="J14" s="62" t="s">
        <v>25</v>
      </c>
      <c r="K14" s="74"/>
      <c r="L14" s="4"/>
      <c r="M14" s="69"/>
      <c r="N14" s="60">
        <v>7</v>
      </c>
      <c r="O14" s="64" t="s">
        <v>38</v>
      </c>
      <c r="P14" s="65">
        <v>150000</v>
      </c>
    </row>
    <row r="15" spans="1:16" ht="16" thickBot="1" x14ac:dyDescent="0.4">
      <c r="A15" s="53">
        <v>9</v>
      </c>
      <c r="B15" s="54" t="s">
        <v>39</v>
      </c>
      <c r="C15" s="55">
        <v>0</v>
      </c>
      <c r="D15" s="56"/>
      <c r="E15" s="57">
        <v>8</v>
      </c>
      <c r="F15" s="72"/>
      <c r="G15" s="72"/>
      <c r="H15" s="60" t="s">
        <v>25</v>
      </c>
      <c r="I15" s="73"/>
      <c r="J15" s="62" t="s">
        <v>25</v>
      </c>
      <c r="K15" s="74"/>
      <c r="M15" s="69"/>
      <c r="N15" s="75" t="s">
        <v>40</v>
      </c>
      <c r="O15" s="76"/>
      <c r="P15" s="77">
        <v>1035000</v>
      </c>
    </row>
    <row r="16" spans="1:16" ht="16" thickBot="1" x14ac:dyDescent="0.4">
      <c r="A16" s="53">
        <v>10</v>
      </c>
      <c r="B16" s="54" t="s">
        <v>41</v>
      </c>
      <c r="C16" s="55">
        <v>0</v>
      </c>
      <c r="D16" s="56"/>
      <c r="E16" s="57">
        <v>9</v>
      </c>
      <c r="F16" s="72"/>
      <c r="G16" s="72"/>
      <c r="H16" s="60" t="s">
        <v>25</v>
      </c>
      <c r="I16" s="73"/>
      <c r="J16" s="62" t="s">
        <v>25</v>
      </c>
      <c r="K16" s="78"/>
    </row>
    <row r="17" spans="1:16" ht="16" thickBot="1" x14ac:dyDescent="0.4">
      <c r="A17" s="53">
        <v>11</v>
      </c>
      <c r="B17" s="54" t="s">
        <v>42</v>
      </c>
      <c r="C17" s="55">
        <v>0</v>
      </c>
      <c r="D17" s="56"/>
      <c r="E17" s="57">
        <v>10</v>
      </c>
      <c r="F17" s="72"/>
      <c r="G17" s="72"/>
      <c r="H17" s="60" t="s">
        <v>25</v>
      </c>
      <c r="I17" s="73"/>
      <c r="J17" s="79" t="s">
        <v>25</v>
      </c>
      <c r="K17" s="80"/>
    </row>
    <row r="18" spans="1:16" ht="18" thickBot="1" x14ac:dyDescent="0.4">
      <c r="A18" s="81" t="s">
        <v>43</v>
      </c>
      <c r="B18" s="82"/>
      <c r="C18" s="83"/>
      <c r="D18" s="84"/>
      <c r="E18" s="84"/>
      <c r="F18" s="84"/>
      <c r="G18" s="84"/>
      <c r="H18" s="85"/>
      <c r="I18" s="86"/>
      <c r="J18" s="87"/>
      <c r="K18" s="80"/>
      <c r="L18" s="88"/>
    </row>
    <row r="19" spans="1:16" ht="18" thickBot="1" x14ac:dyDescent="0.4">
      <c r="A19" s="89"/>
      <c r="B19" s="90" t="s">
        <v>44</v>
      </c>
      <c r="C19" s="91"/>
      <c r="D19" s="91"/>
      <c r="E19" s="91"/>
      <c r="F19" s="91"/>
      <c r="G19" s="91"/>
      <c r="H19" s="91"/>
      <c r="I19" s="91"/>
      <c r="J19" s="92"/>
      <c r="K19" s="74"/>
      <c r="L19" s="4"/>
      <c r="M19" s="88"/>
      <c r="N19" s="88"/>
      <c r="O19" s="88"/>
      <c r="P19" s="88"/>
    </row>
  </sheetData>
  <mergeCells count="17">
    <mergeCell ref="L7:L8"/>
    <mergeCell ref="N15:O15"/>
    <mergeCell ref="A18:B18"/>
    <mergeCell ref="B19:I19"/>
    <mergeCell ref="B4:H4"/>
    <mergeCell ref="L4:P4"/>
    <mergeCell ref="A5:D5"/>
    <mergeCell ref="E5:G5"/>
    <mergeCell ref="H5:J5"/>
    <mergeCell ref="E6:G6"/>
    <mergeCell ref="N6:P6"/>
    <mergeCell ref="A1:I1"/>
    <mergeCell ref="L1:P1"/>
    <mergeCell ref="A2:J2"/>
    <mergeCell ref="L2:P2"/>
    <mergeCell ref="A3:J3"/>
    <mergeCell ref="L3:P3"/>
  </mergeCells>
  <conditionalFormatting sqref="C7:C17">
    <cfRule type="cellIs" dxfId="3" priority="1" operator="lessThan">
      <formula>0</formula>
    </cfRule>
    <cfRule type="cellIs" dxfId="2" priority="2" operator="lessThan">
      <formula>75000</formula>
    </cfRule>
    <cfRule type="cellIs" dxfId="1" priority="3" operator="greaterThan">
      <formula>75000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asusa1404za432f@outlook.com</dc:creator>
  <cp:lastModifiedBy>asusa1404za432f@outlook.com</cp:lastModifiedBy>
  <dcterms:created xsi:type="dcterms:W3CDTF">2026-09-24T19:39:29Z</dcterms:created>
  <dcterms:modified xsi:type="dcterms:W3CDTF">2026-09-24T19:39:58Z</dcterms:modified>
</cp:coreProperties>
</file>