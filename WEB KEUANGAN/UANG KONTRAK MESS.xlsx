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ku_Kerja_Ini"/>
  <mc:AlternateContent xmlns:mc="http://schemas.openxmlformats.org/markup-compatibility/2006">
    <mc:Choice Requires="x15">
      <x15ac:absPath xmlns:x15ac="http://schemas.microsoft.com/office/spreadsheetml/2010/11/ac" url="D:\UNIMAR AMNI SEMARANG\MESS VEGA\COBA\"/>
    </mc:Choice>
  </mc:AlternateContent>
  <xr:revisionPtr revIDLastSave="0" documentId="13_ncr:1_{957DDCE1-59EB-415E-A80D-3748B4B54A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ANG M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KjjD/qZlFh/JrS4qGUnzdV3Abwo7x6Ad+MRB624/Ic="/>
    </ext>
  </extLst>
</workbook>
</file>

<file path=xl/calcChain.xml><?xml version="1.0" encoding="utf-8"?>
<calcChain xmlns="http://schemas.openxmlformats.org/spreadsheetml/2006/main">
  <c r="K24" i="1" l="1"/>
  <c r="J23" i="1"/>
  <c r="C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6" i="1"/>
  <c r="I23" i="1" s="1"/>
  <c r="K23" i="1" s="1"/>
  <c r="K6" i="1" l="1"/>
</calcChain>
</file>

<file path=xl/sharedStrings.xml><?xml version="1.0" encoding="utf-8"?>
<sst xmlns="http://schemas.openxmlformats.org/spreadsheetml/2006/main" count="45" uniqueCount="41">
  <si>
    <t>PEMBUKUAN BIAYA KONTRAK</t>
  </si>
  <si>
    <t>MESS VEGA</t>
  </si>
  <si>
    <t>TAHUN 2026/2027</t>
  </si>
  <si>
    <t>SALDO TAHUN LALU</t>
  </si>
  <si>
    <t xml:space="preserve">TOTAL PELUNASAN </t>
  </si>
  <si>
    <t>NO</t>
  </si>
  <si>
    <t>CREW MESS VEGA</t>
  </si>
  <si>
    <t>Pembayaran</t>
  </si>
  <si>
    <t>Pelunasan</t>
  </si>
  <si>
    <t>Ket</t>
  </si>
  <si>
    <t>Uraian</t>
  </si>
  <si>
    <t>Pemasukkan</t>
  </si>
  <si>
    <t>Pengeluaran</t>
  </si>
  <si>
    <t>Saldo</t>
  </si>
  <si>
    <t>Agiel</t>
  </si>
  <si>
    <t>LUNAS</t>
  </si>
  <si>
    <t>No.</t>
  </si>
  <si>
    <t>Tanggal</t>
  </si>
  <si>
    <t>Farel</t>
  </si>
  <si>
    <t>di bang Bima 100k</t>
  </si>
  <si>
    <t>Rama</t>
  </si>
  <si>
    <t>Admin Bank</t>
  </si>
  <si>
    <t xml:space="preserve">Wahyu </t>
  </si>
  <si>
    <t>Bram</t>
  </si>
  <si>
    <t>Wisnu</t>
  </si>
  <si>
    <t>Ardra</t>
  </si>
  <si>
    <t>Faesal</t>
  </si>
  <si>
    <t>Adit</t>
  </si>
  <si>
    <t>Daffa</t>
  </si>
  <si>
    <t xml:space="preserve"> &amp; tahun lalu</t>
  </si>
  <si>
    <t>Azzi</t>
  </si>
  <si>
    <t>Olga</t>
  </si>
  <si>
    <t>Amlang</t>
  </si>
  <si>
    <t>Arya</t>
  </si>
  <si>
    <t>Aan</t>
  </si>
  <si>
    <t>Alan</t>
  </si>
  <si>
    <t xml:space="preserve">TOTAL SALDO  </t>
  </si>
  <si>
    <t xml:space="preserve">PENUNGGAKAN </t>
  </si>
  <si>
    <t>PEMBAYARAN KAS TUNAI / TRANSFER KE REKENING WISNU RASYA (63)</t>
  </si>
  <si>
    <r>
      <rPr>
        <b/>
        <sz val="12"/>
        <color theme="1"/>
        <rFont val="Times New Roman"/>
      </rPr>
      <t xml:space="preserve">BANK BRI A/N WISNU RASYA ADIWIDYA  </t>
    </r>
    <r>
      <rPr>
        <b/>
        <sz val="15"/>
        <color theme="1"/>
        <rFont val="Times New Roman"/>
      </rPr>
      <t>(592201058151535)</t>
    </r>
  </si>
  <si>
    <t>WHATSAPP (+62 858-0222-3316)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</si>
</sst>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"/>
    <numFmt numFmtId="165" formatCode="#,##0;\(#,##0\)"/>
    <numFmt numFmtId="166" formatCode="_-[$Rp-421]* #,##0_-;\-[$Rp-421]* #,##0_-;_-[$Rp-421]* &quot;-&quot;_-;_-@"/>
    <numFmt numFmtId="167" formatCode="_-&quot;Rp&quot;* #,##0_-;\-&quot;Rp&quot;* #,##0_-;_-&quot;Rp&quot;* &quot;-&quot;??_-;_-@"/>
  </numFmts>
  <fonts count="11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b/>
      <sz val="15"/>
      <color theme="1"/>
      <name val="Times New Roman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9DF877"/>
        <bgColor rgb="FF9DF877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BFBFBF"/>
        <bgColor rgb="FFBFBFBF"/>
      </patternFill>
    </fill>
    <fill>
      <patternFill patternType="solid">
        <fgColor rgb="FFD9D2E9"/>
        <bgColor rgb="FFD9D2E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165" fontId="3" fillId="4" borderId="3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7" fontId="3" fillId="2" borderId="9" xfId="0" applyNumberFormat="1" applyFont="1" applyFill="1" applyBorder="1" applyAlignment="1">
      <alignment vertical="center"/>
    </xf>
    <xf numFmtId="167" fontId="3" fillId="2" borderId="8" xfId="0" applyNumberFormat="1" applyFont="1" applyFill="1" applyBorder="1" applyAlignment="1">
      <alignment vertical="center"/>
    </xf>
    <xf numFmtId="166" fontId="3" fillId="0" borderId="8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vertical="center"/>
    </xf>
    <xf numFmtId="166" fontId="3" fillId="0" borderId="8" xfId="0" applyNumberFormat="1" applyFont="1" applyBorder="1" applyAlignment="1">
      <alignment vertical="center"/>
    </xf>
    <xf numFmtId="165" fontId="3" fillId="4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 applyAlignment="1">
      <alignment vertical="center"/>
    </xf>
    <xf numFmtId="166" fontId="3" fillId="6" borderId="12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vertical="center"/>
    </xf>
    <xf numFmtId="0" fontId="3" fillId="9" borderId="8" xfId="0" applyFont="1" applyFill="1" applyBorder="1"/>
    <xf numFmtId="164" fontId="9" fillId="7" borderId="13" xfId="0" applyNumberFormat="1" applyFont="1" applyFill="1" applyBorder="1" applyAlignment="1">
      <alignment horizontal="center" vertical="center"/>
    </xf>
    <xf numFmtId="164" fontId="9" fillId="8" borderId="14" xfId="0" applyNumberFormat="1" applyFont="1" applyFill="1" applyBorder="1" applyAlignment="1">
      <alignment horizontal="center" vertical="center"/>
    </xf>
    <xf numFmtId="164" fontId="9" fillId="6" borderId="14" xfId="0" applyNumberFormat="1" applyFont="1" applyFill="1" applyBorder="1" applyAlignment="1">
      <alignment horizontal="center" vertical="center"/>
    </xf>
    <xf numFmtId="164" fontId="9" fillId="9" borderId="8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164" fontId="8" fillId="3" borderId="3" xfId="0" applyNumberFormat="1" applyFont="1" applyFill="1" applyBorder="1" applyAlignment="1">
      <alignment horizontal="center" vertical="center"/>
    </xf>
    <xf numFmtId="164" fontId="10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3" fillId="9" borderId="3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4" fillId="10" borderId="19" xfId="0" applyFont="1" applyFill="1" applyBorder="1" applyAlignment="1">
      <alignment horizontal="center" vertical="center"/>
    </xf>
    <xf numFmtId="0" fontId="0" fillId="0" borderId="0" xfId="0"/>
    <xf numFmtId="0" fontId="2" fillId="0" borderId="20" xfId="0" applyFont="1" applyBorder="1"/>
    <xf numFmtId="0" fontId="4" fillId="10" borderId="21" xfId="0" applyFont="1" applyFill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4" fillId="0" borderId="3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5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embar2">
    <tabColor rgb="FFFFFF00"/>
  </sheetPr>
  <dimension ref="A1:K1000"/>
  <sheetViews>
    <sheetView tabSelected="1" topLeftCell="D1" workbookViewId="0">
      <pane ySplit="5" topLeftCell="A6" activePane="bottomLeft" state="frozen"/>
      <selection pane="bottomLeft" activeCell="E17" sqref="E17"/>
    </sheetView>
  </sheetViews>
  <sheetFormatPr defaultColWidth="14.453125" defaultRowHeight="15" customHeight="1" x14ac:dyDescent="0.35"/>
  <cols>
    <col min="1" max="1" width="4.6328125" customWidth="1"/>
    <col min="2" max="2" width="21.54296875" customWidth="1"/>
    <col min="3" max="3" width="24.453125" customWidth="1"/>
    <col min="4" max="4" width="21.26953125" customWidth="1"/>
    <col min="5" max="5" width="11.81640625" customWidth="1"/>
    <col min="6" max="6" width="6.453125" customWidth="1"/>
    <col min="7" max="7" width="11.81640625" customWidth="1"/>
    <col min="8" max="8" width="22.81640625" customWidth="1"/>
    <col min="9" max="9" width="18.08984375" customWidth="1"/>
    <col min="10" max="10" width="19" customWidth="1"/>
    <col min="11" max="11" width="24.54296875" customWidth="1"/>
    <col min="12" max="28" width="8.7265625" customWidth="1"/>
  </cols>
  <sheetData>
    <row r="1" spans="1:11" ht="14.25" customHeigh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4.25" customHeight="1" x14ac:dyDescent="0.35">
      <c r="A2" s="3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4.25" customHeight="1" x14ac:dyDescent="0.35">
      <c r="A3" s="34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22.5" customHeight="1" x14ac:dyDescent="0.55000000000000004">
      <c r="A4" s="29" t="s">
        <v>3</v>
      </c>
      <c r="B4" s="30"/>
      <c r="C4" s="31"/>
      <c r="D4" s="32">
        <v>1095000</v>
      </c>
      <c r="E4" s="33"/>
      <c r="F4" s="29" t="s">
        <v>4</v>
      </c>
      <c r="G4" s="30"/>
      <c r="H4" s="31"/>
      <c r="I4" s="32">
        <v>27000000</v>
      </c>
      <c r="J4" s="36"/>
      <c r="K4" s="37"/>
    </row>
    <row r="5" spans="1:11" ht="15" customHeight="1" x14ac:dyDescent="0.35">
      <c r="A5" s="1" t="s">
        <v>5</v>
      </c>
      <c r="B5" s="1" t="s">
        <v>6</v>
      </c>
      <c r="C5" s="2" t="s">
        <v>7</v>
      </c>
      <c r="D5" s="2" t="s">
        <v>8</v>
      </c>
      <c r="E5" s="2" t="s">
        <v>9</v>
      </c>
      <c r="F5" s="48" t="s">
        <v>10</v>
      </c>
      <c r="G5" s="30"/>
      <c r="H5" s="31"/>
      <c r="I5" s="3" t="s">
        <v>11</v>
      </c>
      <c r="J5" s="4" t="s">
        <v>12</v>
      </c>
      <c r="K5" s="4" t="s">
        <v>13</v>
      </c>
    </row>
    <row r="6" spans="1:11" ht="15" customHeight="1" x14ac:dyDescent="0.35">
      <c r="A6" s="5">
        <v>1</v>
      </c>
      <c r="B6" s="6" t="s">
        <v>14</v>
      </c>
      <c r="C6" s="7">
        <v>4000000</v>
      </c>
      <c r="D6" s="8">
        <v>4000000</v>
      </c>
      <c r="E6" s="9" t="s">
        <v>15</v>
      </c>
      <c r="F6" s="10" t="s">
        <v>16</v>
      </c>
      <c r="G6" s="10" t="s">
        <v>17</v>
      </c>
      <c r="H6" s="10" t="s">
        <v>9</v>
      </c>
      <c r="I6" s="11">
        <f>SUM(D4,C23)</f>
        <v>12895000</v>
      </c>
      <c r="J6" s="12">
        <v>0</v>
      </c>
      <c r="K6" s="12">
        <f t="shared" ref="K6:K23" si="0">I6-J6</f>
        <v>12895000</v>
      </c>
    </row>
    <row r="7" spans="1:11" ht="15" customHeight="1" x14ac:dyDescent="0.35">
      <c r="A7" s="5">
        <v>2</v>
      </c>
      <c r="B7" s="6" t="s">
        <v>18</v>
      </c>
      <c r="C7" s="13">
        <v>4000000</v>
      </c>
      <c r="D7" s="8">
        <v>4000000</v>
      </c>
      <c r="E7" s="14" t="s">
        <v>15</v>
      </c>
      <c r="F7" s="15">
        <v>1</v>
      </c>
      <c r="G7" s="16"/>
      <c r="H7" s="6" t="s">
        <v>19</v>
      </c>
      <c r="I7" s="17">
        <v>0</v>
      </c>
      <c r="J7" s="17">
        <v>100000</v>
      </c>
      <c r="K7" s="17">
        <f t="shared" si="0"/>
        <v>-100000</v>
      </c>
    </row>
    <row r="8" spans="1:11" ht="15" customHeight="1" x14ac:dyDescent="0.35">
      <c r="A8" s="5">
        <v>3</v>
      </c>
      <c r="B8" s="6" t="s">
        <v>20</v>
      </c>
      <c r="C8" s="18">
        <v>0</v>
      </c>
      <c r="D8" s="8">
        <v>4000000</v>
      </c>
      <c r="E8" s="14"/>
      <c r="F8" s="15">
        <v>2</v>
      </c>
      <c r="G8" s="16"/>
      <c r="H8" s="6" t="s">
        <v>21</v>
      </c>
      <c r="I8" s="17">
        <v>0</v>
      </c>
      <c r="J8" s="17">
        <v>8000</v>
      </c>
      <c r="K8" s="17">
        <f t="shared" si="0"/>
        <v>-8000</v>
      </c>
    </row>
    <row r="9" spans="1:11" ht="15" customHeight="1" x14ac:dyDescent="0.35">
      <c r="A9" s="5">
        <v>4</v>
      </c>
      <c r="B9" s="6" t="s">
        <v>22</v>
      </c>
      <c r="C9" s="18">
        <v>0</v>
      </c>
      <c r="D9" s="8">
        <v>4000000</v>
      </c>
      <c r="E9" s="14"/>
      <c r="F9" s="15">
        <v>3</v>
      </c>
      <c r="G9" s="16"/>
      <c r="H9" s="6"/>
      <c r="I9" s="17">
        <v>0</v>
      </c>
      <c r="J9" s="17">
        <v>0</v>
      </c>
      <c r="K9" s="17">
        <f t="shared" si="0"/>
        <v>0</v>
      </c>
    </row>
    <row r="10" spans="1:11" ht="15" customHeight="1" x14ac:dyDescent="0.35">
      <c r="A10" s="5">
        <v>5</v>
      </c>
      <c r="B10" s="6" t="s">
        <v>23</v>
      </c>
      <c r="C10" s="18">
        <v>1000000</v>
      </c>
      <c r="D10" s="19">
        <v>2500000</v>
      </c>
      <c r="E10" s="15"/>
      <c r="F10" s="15">
        <v>4</v>
      </c>
      <c r="G10" s="5"/>
      <c r="H10" s="6"/>
      <c r="I10" s="17">
        <v>0</v>
      </c>
      <c r="J10" s="17">
        <v>0</v>
      </c>
      <c r="K10" s="17">
        <f t="shared" si="0"/>
        <v>0</v>
      </c>
    </row>
    <row r="11" spans="1:11" ht="15" customHeight="1" x14ac:dyDescent="0.35">
      <c r="A11" s="5">
        <v>6</v>
      </c>
      <c r="B11" s="6" t="s">
        <v>24</v>
      </c>
      <c r="C11" s="18">
        <v>0</v>
      </c>
      <c r="D11" s="19">
        <v>2500000</v>
      </c>
      <c r="E11" s="15"/>
      <c r="F11" s="15">
        <v>5</v>
      </c>
      <c r="G11" s="16"/>
      <c r="H11" s="6"/>
      <c r="I11" s="17">
        <v>0</v>
      </c>
      <c r="J11" s="17">
        <v>0</v>
      </c>
      <c r="K11" s="17">
        <f t="shared" si="0"/>
        <v>0</v>
      </c>
    </row>
    <row r="12" spans="1:11" ht="15" customHeight="1" x14ac:dyDescent="0.35">
      <c r="A12" s="5">
        <v>7</v>
      </c>
      <c r="B12" s="6" t="s">
        <v>22</v>
      </c>
      <c r="C12" s="18">
        <v>2500000</v>
      </c>
      <c r="D12" s="19">
        <v>2500000</v>
      </c>
      <c r="E12" s="15" t="s">
        <v>15</v>
      </c>
      <c r="F12" s="15">
        <v>6</v>
      </c>
      <c r="G12" s="16"/>
      <c r="H12" s="6"/>
      <c r="I12" s="17">
        <v>0</v>
      </c>
      <c r="J12" s="17">
        <v>0</v>
      </c>
      <c r="K12" s="17">
        <f t="shared" si="0"/>
        <v>0</v>
      </c>
    </row>
    <row r="13" spans="1:11" ht="14.25" customHeight="1" x14ac:dyDescent="0.35">
      <c r="A13" s="5">
        <v>8</v>
      </c>
      <c r="B13" s="6" t="s">
        <v>25</v>
      </c>
      <c r="C13" s="18">
        <v>0</v>
      </c>
      <c r="D13" s="19">
        <v>1800000</v>
      </c>
      <c r="E13" s="15"/>
      <c r="F13" s="15">
        <v>7</v>
      </c>
      <c r="G13" s="16"/>
      <c r="H13" s="6"/>
      <c r="I13" s="17">
        <v>0</v>
      </c>
      <c r="J13" s="17">
        <v>0</v>
      </c>
      <c r="K13" s="17">
        <f t="shared" si="0"/>
        <v>0</v>
      </c>
    </row>
    <row r="14" spans="1:11" ht="14.25" customHeight="1" x14ac:dyDescent="0.35">
      <c r="A14" s="5">
        <v>9</v>
      </c>
      <c r="B14" s="6" t="s">
        <v>26</v>
      </c>
      <c r="C14" s="18">
        <v>0</v>
      </c>
      <c r="D14" s="19">
        <v>1800000</v>
      </c>
      <c r="E14" s="15"/>
      <c r="F14" s="15">
        <v>8</v>
      </c>
      <c r="G14" s="16"/>
      <c r="H14" s="6"/>
      <c r="I14" s="17">
        <v>0</v>
      </c>
      <c r="J14" s="17">
        <v>0</v>
      </c>
      <c r="K14" s="17">
        <f t="shared" si="0"/>
        <v>0</v>
      </c>
    </row>
    <row r="15" spans="1:11" ht="14.25" customHeight="1" x14ac:dyDescent="0.35">
      <c r="A15" s="5">
        <v>10</v>
      </c>
      <c r="B15" s="6" t="s">
        <v>27</v>
      </c>
      <c r="C15" s="18">
        <v>0</v>
      </c>
      <c r="D15" s="19">
        <v>1000000</v>
      </c>
      <c r="E15" s="15"/>
      <c r="F15" s="15">
        <v>9</v>
      </c>
      <c r="G15" s="20"/>
      <c r="H15" s="6"/>
      <c r="I15" s="17">
        <v>0</v>
      </c>
      <c r="J15" s="17">
        <v>0</v>
      </c>
      <c r="K15" s="17">
        <f t="shared" si="0"/>
        <v>0</v>
      </c>
    </row>
    <row r="16" spans="1:11" ht="14.25" customHeight="1" x14ac:dyDescent="0.35">
      <c r="A16" s="5">
        <v>11</v>
      </c>
      <c r="B16" s="6" t="s">
        <v>28</v>
      </c>
      <c r="C16" s="18">
        <v>0</v>
      </c>
      <c r="D16" s="19">
        <v>700000</v>
      </c>
      <c r="E16" s="15" t="s">
        <v>29</v>
      </c>
      <c r="F16" s="15">
        <v>10</v>
      </c>
      <c r="G16" s="20"/>
      <c r="H16" s="6"/>
      <c r="I16" s="17">
        <v>0</v>
      </c>
      <c r="J16" s="17">
        <v>0</v>
      </c>
      <c r="K16" s="17">
        <f t="shared" si="0"/>
        <v>0</v>
      </c>
    </row>
    <row r="17" spans="1:11" ht="14.25" customHeight="1" x14ac:dyDescent="0.35">
      <c r="A17" s="5">
        <v>12</v>
      </c>
      <c r="B17" s="6" t="s">
        <v>30</v>
      </c>
      <c r="C17" s="18">
        <v>300000</v>
      </c>
      <c r="D17" s="19">
        <v>500000</v>
      </c>
      <c r="E17" s="15"/>
      <c r="F17" s="15">
        <v>11</v>
      </c>
      <c r="G17" s="20"/>
      <c r="H17" s="6"/>
      <c r="I17" s="17">
        <v>0</v>
      </c>
      <c r="J17" s="17">
        <v>0</v>
      </c>
      <c r="K17" s="17">
        <f t="shared" si="0"/>
        <v>0</v>
      </c>
    </row>
    <row r="18" spans="1:11" ht="14.25" customHeight="1" x14ac:dyDescent="0.35">
      <c r="A18" s="5">
        <v>13</v>
      </c>
      <c r="B18" s="6" t="s">
        <v>31</v>
      </c>
      <c r="C18" s="18">
        <v>0</v>
      </c>
      <c r="D18" s="19">
        <v>1000000</v>
      </c>
      <c r="E18" s="15"/>
      <c r="F18" s="15">
        <v>12</v>
      </c>
      <c r="G18" s="20"/>
      <c r="H18" s="6"/>
      <c r="I18" s="17">
        <v>0</v>
      </c>
      <c r="J18" s="17">
        <v>0</v>
      </c>
      <c r="K18" s="17">
        <f t="shared" si="0"/>
        <v>0</v>
      </c>
    </row>
    <row r="19" spans="1:11" ht="14.25" customHeight="1" x14ac:dyDescent="0.35">
      <c r="A19" s="5">
        <v>14</v>
      </c>
      <c r="B19" s="6" t="s">
        <v>32</v>
      </c>
      <c r="C19" s="18">
        <v>0</v>
      </c>
      <c r="D19" s="19">
        <v>1500000</v>
      </c>
      <c r="E19" s="15"/>
      <c r="F19" s="15">
        <v>13</v>
      </c>
      <c r="G19" s="20"/>
      <c r="H19" s="6"/>
      <c r="I19" s="17">
        <v>0</v>
      </c>
      <c r="J19" s="17">
        <v>0</v>
      </c>
      <c r="K19" s="17">
        <f t="shared" si="0"/>
        <v>0</v>
      </c>
    </row>
    <row r="20" spans="1:11" ht="14.25" customHeight="1" x14ac:dyDescent="0.35">
      <c r="A20" s="5">
        <v>15</v>
      </c>
      <c r="B20" s="6" t="s">
        <v>33</v>
      </c>
      <c r="C20" s="18">
        <v>0</v>
      </c>
      <c r="D20" s="19">
        <v>1500000</v>
      </c>
      <c r="E20" s="15"/>
      <c r="F20" s="15">
        <v>14</v>
      </c>
      <c r="G20" s="20"/>
      <c r="H20" s="6"/>
      <c r="I20" s="17">
        <v>0</v>
      </c>
      <c r="J20" s="17">
        <v>0</v>
      </c>
      <c r="K20" s="17">
        <f t="shared" si="0"/>
        <v>0</v>
      </c>
    </row>
    <row r="21" spans="1:11" ht="14.25" customHeight="1" x14ac:dyDescent="0.35">
      <c r="A21" s="5">
        <v>16</v>
      </c>
      <c r="B21" s="6" t="s">
        <v>34</v>
      </c>
      <c r="C21" s="18">
        <v>0</v>
      </c>
      <c r="D21" s="19">
        <v>500000</v>
      </c>
      <c r="E21" s="15"/>
      <c r="F21" s="15">
        <v>15</v>
      </c>
      <c r="G21" s="20"/>
      <c r="H21" s="6"/>
      <c r="I21" s="17">
        <v>0</v>
      </c>
      <c r="J21" s="17">
        <v>0</v>
      </c>
      <c r="K21" s="17">
        <f t="shared" si="0"/>
        <v>0</v>
      </c>
    </row>
    <row r="22" spans="1:11" ht="14.25" customHeight="1" x14ac:dyDescent="0.35">
      <c r="A22" s="5">
        <v>17</v>
      </c>
      <c r="B22" s="6" t="s">
        <v>35</v>
      </c>
      <c r="C22" s="18">
        <v>0</v>
      </c>
      <c r="D22" s="19">
        <v>500000</v>
      </c>
      <c r="E22" s="15"/>
      <c r="F22" s="15">
        <v>16</v>
      </c>
      <c r="G22" s="20"/>
      <c r="H22" s="6"/>
      <c r="I22" s="17">
        <v>0</v>
      </c>
      <c r="J22" s="17">
        <v>0</v>
      </c>
      <c r="K22" s="17">
        <f t="shared" si="0"/>
        <v>0</v>
      </c>
    </row>
    <row r="23" spans="1:11" ht="41" customHeight="1" x14ac:dyDescent="0.35">
      <c r="A23" s="49" t="s">
        <v>36</v>
      </c>
      <c r="B23" s="50"/>
      <c r="C23" s="21">
        <f>SUM(C6:C22)</f>
        <v>11800000</v>
      </c>
      <c r="D23" s="22"/>
      <c r="E23" s="22"/>
      <c r="F23" s="51"/>
      <c r="G23" s="30"/>
      <c r="H23" s="31"/>
      <c r="I23" s="25">
        <f>SUM(I6:I22)</f>
        <v>12895000</v>
      </c>
      <c r="J23" s="26">
        <f>SUM(J6:J22)</f>
        <v>108000</v>
      </c>
      <c r="K23" s="27">
        <f t="shared" si="0"/>
        <v>12787000</v>
      </c>
    </row>
    <row r="24" spans="1:11" ht="31.5" customHeight="1" x14ac:dyDescent="0.35">
      <c r="A24" s="23"/>
      <c r="B24" s="38" t="s">
        <v>37</v>
      </c>
      <c r="C24" s="30"/>
      <c r="D24" s="30"/>
      <c r="E24" s="30"/>
      <c r="F24" s="30"/>
      <c r="G24" s="30"/>
      <c r="H24" s="31"/>
      <c r="I24" s="24"/>
      <c r="J24" s="24"/>
      <c r="K24" s="28">
        <f>I4</f>
        <v>27000000</v>
      </c>
    </row>
    <row r="25" spans="1:11" ht="16.5" customHeight="1" x14ac:dyDescent="0.35"/>
    <row r="26" spans="1:11" ht="16.5" customHeight="1" x14ac:dyDescent="0.35">
      <c r="H26" s="39" t="s">
        <v>38</v>
      </c>
      <c r="I26" s="40"/>
      <c r="J26" s="40"/>
      <c r="K26" s="41"/>
    </row>
    <row r="27" spans="1:11" ht="16.5" customHeight="1" x14ac:dyDescent="0.35">
      <c r="H27" s="42" t="s">
        <v>39</v>
      </c>
      <c r="I27" s="43"/>
      <c r="J27" s="43"/>
      <c r="K27" s="44"/>
    </row>
    <row r="28" spans="1:11" ht="16.5" customHeight="1" x14ac:dyDescent="0.35">
      <c r="H28" s="45" t="s">
        <v>40</v>
      </c>
      <c r="I28" s="46"/>
      <c r="J28" s="46"/>
      <c r="K28" s="47"/>
    </row>
    <row r="29" spans="1:11" ht="16.5" customHeight="1" x14ac:dyDescent="0.35"/>
    <row r="30" spans="1:11" ht="16.5" customHeight="1" x14ac:dyDescent="0.35"/>
    <row r="31" spans="1:11" ht="14.25" customHeight="1" x14ac:dyDescent="0.35"/>
    <row r="32" spans="1:1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4">
    <mergeCell ref="B24:H24"/>
    <mergeCell ref="H26:K26"/>
    <mergeCell ref="H27:K27"/>
    <mergeCell ref="H28:K28"/>
    <mergeCell ref="F5:H5"/>
    <mergeCell ref="A23:B23"/>
    <mergeCell ref="F23:H23"/>
    <mergeCell ref="A4:C4"/>
    <mergeCell ref="D4:E4"/>
    <mergeCell ref="A1:K1"/>
    <mergeCell ref="A2:K2"/>
    <mergeCell ref="A3:K3"/>
    <mergeCell ref="F4:H4"/>
    <mergeCell ref="I4:K4"/>
  </mergeCells>
  <conditionalFormatting sqref="C6:C9">
    <cfRule type="cellIs" dxfId="16" priority="1" operator="equal">
      <formula>4000000</formula>
    </cfRule>
    <cfRule type="cellIs" dxfId="15" priority="2" operator="between">
      <formula>1</formula>
      <formula>4999999</formula>
    </cfRule>
  </conditionalFormatting>
  <conditionalFormatting sqref="C6:C22">
    <cfRule type="cellIs" dxfId="14" priority="17" operator="lessThanOrEqual">
      <formula>0</formula>
    </cfRule>
  </conditionalFormatting>
  <conditionalFormatting sqref="C10:C12">
    <cfRule type="cellIs" dxfId="13" priority="3" operator="equal">
      <formula>2500000</formula>
    </cfRule>
    <cfRule type="cellIs" dxfId="12" priority="4" operator="between">
      <formula>1</formula>
      <formula>2499999</formula>
    </cfRule>
  </conditionalFormatting>
  <conditionalFormatting sqref="C13:C14">
    <cfRule type="cellIs" dxfId="11" priority="5" operator="equal">
      <formula>1800000</formula>
    </cfRule>
    <cfRule type="cellIs" dxfId="10" priority="6" operator="between">
      <formula>1</formula>
      <formula>1799999</formula>
    </cfRule>
  </conditionalFormatting>
  <conditionalFormatting sqref="C15">
    <cfRule type="cellIs" dxfId="9" priority="7" operator="greaterThanOrEqual">
      <formula>1000000</formula>
    </cfRule>
    <cfRule type="cellIs" dxfId="8" priority="9" operator="between">
      <formula>1</formula>
      <formula>999999</formula>
    </cfRule>
  </conditionalFormatting>
  <conditionalFormatting sqref="C16:C17">
    <cfRule type="cellIs" dxfId="7" priority="8" operator="equal">
      <formula>500000</formula>
    </cfRule>
    <cfRule type="cellIs" dxfId="6" priority="10" operator="between">
      <formula>1</formula>
      <formula>499999</formula>
    </cfRule>
  </conditionalFormatting>
  <conditionalFormatting sqref="C18">
    <cfRule type="cellIs" dxfId="5" priority="11" operator="greaterThanOrEqual">
      <formula>1000000</formula>
    </cfRule>
    <cfRule type="cellIs" dxfId="4" priority="12" operator="between">
      <formula>1</formula>
      <formula>999999</formula>
    </cfRule>
  </conditionalFormatting>
  <conditionalFormatting sqref="C19:C20">
    <cfRule type="cellIs" dxfId="3" priority="13" operator="equal">
      <formula>1500000</formula>
    </cfRule>
    <cfRule type="cellIs" dxfId="2" priority="14" operator="between">
      <formula>1</formula>
      <formula>1499999</formula>
    </cfRule>
  </conditionalFormatting>
  <conditionalFormatting sqref="C21:C22">
    <cfRule type="cellIs" dxfId="1" priority="15" operator="equal">
      <formula>500000</formula>
    </cfRule>
    <cfRule type="cellIs" dxfId="0" priority="16" operator="between">
      <formula>1</formula>
      <formula>499999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UANG MESS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administrasi</dc:creator>
  <cp:lastModifiedBy>asusa1404za432f@outlook.com</cp:lastModifiedBy>
  <dcterms:created xsi:type="dcterms:W3CDTF">2017-02-04T03:24:44Z</dcterms:created>
  <dcterms:modified xsi:type="dcterms:W3CDTF">2026-09-24T19:38:02Z</dcterms:modified>
</cp:coreProperties>
</file>